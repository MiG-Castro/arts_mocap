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cs\Proyectos\Personales\A_Repositorio_NodoIMU\"/>
    </mc:Choice>
  </mc:AlternateContent>
  <xr:revisionPtr revIDLastSave="0" documentId="8_{36C43EB1-1A89-4E56-81C0-1CBEF4878B19}" xr6:coauthVersionLast="47" xr6:coauthVersionMax="47" xr10:uidLastSave="{00000000-0000-0000-0000-000000000000}"/>
  <bookViews>
    <workbookView xWindow="-108" yWindow="-108" windowWidth="23256" windowHeight="12456" xr2:uid="{1B8CB651-3DA3-4FBA-8C23-6A8271D186A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I5" i="1" s="1"/>
  <c r="H19" i="1"/>
  <c r="I19" i="1" s="1"/>
  <c r="H2" i="1"/>
  <c r="I2" i="1" s="1"/>
  <c r="E6" i="1"/>
  <c r="F6" i="1" s="1"/>
  <c r="E18" i="1"/>
  <c r="G18" i="1" s="1"/>
  <c r="E19" i="1"/>
  <c r="F19" i="1" s="1"/>
  <c r="E5" i="1"/>
  <c r="F5" i="1" s="1"/>
  <c r="E4" i="1"/>
  <c r="F4" i="1" s="1"/>
  <c r="D3" i="1"/>
  <c r="E2" i="1" s="1"/>
  <c r="F2" i="1" s="1"/>
  <c r="D4" i="1"/>
  <c r="E3" i="1" s="1"/>
  <c r="D5" i="1"/>
  <c r="D6" i="1"/>
  <c r="D7" i="1"/>
  <c r="D8" i="1"/>
  <c r="E7" i="1" s="1"/>
  <c r="D9" i="1"/>
  <c r="E8" i="1" s="1"/>
  <c r="D10" i="1"/>
  <c r="E9" i="1" s="1"/>
  <c r="D11" i="1"/>
  <c r="D12" i="1"/>
  <c r="D13" i="1"/>
  <c r="E12" i="1" s="1"/>
  <c r="D14" i="1"/>
  <c r="E13" i="1" s="1"/>
  <c r="D15" i="1"/>
  <c r="E14" i="1" s="1"/>
  <c r="D16" i="1"/>
  <c r="E15" i="1" s="1"/>
  <c r="D17" i="1"/>
  <c r="D18" i="1"/>
  <c r="D19" i="1"/>
  <c r="D20" i="1"/>
  <c r="D2" i="1"/>
  <c r="C3" i="1"/>
  <c r="C4" i="1"/>
  <c r="H3" i="1" s="1"/>
  <c r="I3" i="1" s="1"/>
  <c r="C5" i="1"/>
  <c r="H4" i="1" s="1"/>
  <c r="I4" i="1" s="1"/>
  <c r="C6" i="1"/>
  <c r="C7" i="1"/>
  <c r="H6" i="1" s="1"/>
  <c r="I6" i="1" s="1"/>
  <c r="C8" i="1"/>
  <c r="H7" i="1" s="1"/>
  <c r="I7" i="1" s="1"/>
  <c r="C9" i="1"/>
  <c r="H8" i="1" s="1"/>
  <c r="I8" i="1" s="1"/>
  <c r="C10" i="1"/>
  <c r="H9" i="1" s="1"/>
  <c r="I9" i="1" s="1"/>
  <c r="C11" i="1"/>
  <c r="H10" i="1" s="1"/>
  <c r="I10" i="1" s="1"/>
  <c r="C12" i="1"/>
  <c r="H11" i="1" s="1"/>
  <c r="I11" i="1" s="1"/>
  <c r="C13" i="1"/>
  <c r="H12" i="1" s="1"/>
  <c r="I12" i="1" s="1"/>
  <c r="C14" i="1"/>
  <c r="C15" i="1"/>
  <c r="C16" i="1"/>
  <c r="H15" i="1" s="1"/>
  <c r="I15" i="1" s="1"/>
  <c r="C17" i="1"/>
  <c r="H16" i="1" s="1"/>
  <c r="I16" i="1" s="1"/>
  <c r="C18" i="1"/>
  <c r="H17" i="1" s="1"/>
  <c r="I17" i="1" s="1"/>
  <c r="C19" i="1"/>
  <c r="H18" i="1" s="1"/>
  <c r="I18" i="1" s="1"/>
  <c r="C20" i="1"/>
  <c r="C2" i="1"/>
  <c r="G3" i="1" l="1"/>
  <c r="F3" i="1"/>
  <c r="E10" i="1"/>
  <c r="G10" i="1" s="1"/>
  <c r="H14" i="1"/>
  <c r="I14" i="1" s="1"/>
  <c r="E11" i="1"/>
  <c r="H13" i="1"/>
  <c r="I13" i="1" s="1"/>
  <c r="E17" i="1"/>
  <c r="G6" i="1"/>
  <c r="G12" i="1"/>
  <c r="F12" i="1"/>
  <c r="F14" i="1"/>
  <c r="G14" i="1"/>
  <c r="G13" i="1"/>
  <c r="F13" i="1"/>
  <c r="G8" i="1"/>
  <c r="F8" i="1"/>
  <c r="G15" i="1"/>
  <c r="F15" i="1"/>
  <c r="G9" i="1"/>
  <c r="F9" i="1"/>
  <c r="G11" i="1"/>
  <c r="F11" i="1"/>
  <c r="F7" i="1"/>
  <c r="G7" i="1"/>
  <c r="F17" i="1"/>
  <c r="G17" i="1"/>
  <c r="E16" i="1"/>
  <c r="F18" i="1"/>
  <c r="G5" i="1"/>
  <c r="G4" i="1"/>
  <c r="G2" i="1"/>
  <c r="G19" i="1"/>
  <c r="F10" i="1" l="1"/>
  <c r="G16" i="1"/>
  <c r="F16" i="1"/>
</calcChain>
</file>

<file path=xl/sharedStrings.xml><?xml version="1.0" encoding="utf-8"?>
<sst xmlns="http://schemas.openxmlformats.org/spreadsheetml/2006/main" count="20" uniqueCount="20">
  <si>
    <t>139828137 - 139400146</t>
  </si>
  <si>
    <t>139928138 - 139500152</t>
  </si>
  <si>
    <t>140028139 - 139600128</t>
  </si>
  <si>
    <t>140128140 - 139700134</t>
  </si>
  <si>
    <t>140228140 - 139800140</t>
  </si>
  <si>
    <t>140328142 - 139900115</t>
  </si>
  <si>
    <t>140428143 - 140000152</t>
  </si>
  <si>
    <t>140528144 - 140100158</t>
  </si>
  <si>
    <t>140628145 - 140200134</t>
  </si>
  <si>
    <t>140728145 - 140300140</t>
  </si>
  <si>
    <t>140828146 - 140400146</t>
  </si>
  <si>
    <t>140928148 - 140500122</t>
  </si>
  <si>
    <t>141028149 - 140600158</t>
  </si>
  <si>
    <t>141128150 - 140700164</t>
  </si>
  <si>
    <t>141228150 - 140800140</t>
  </si>
  <si>
    <t>141328151 - 140900146</t>
  </si>
  <si>
    <t>141428152 - 141000152</t>
  </si>
  <si>
    <t>141528154 - 141100128</t>
  </si>
  <si>
    <t>141628155 - 141200164</t>
  </si>
  <si>
    <t>~40-50us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</si>
</sst>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9EC1-63D9-40A0-B9E4-631198A98F7C}">
  <dimension ref="B2:I21"/>
  <sheetViews>
    <sheetView tabSelected="1" workbookViewId="0">
      <selection activeCell="M12" sqref="M12"/>
    </sheetView>
  </sheetViews>
  <sheetFormatPr baseColWidth="10" defaultRowHeight="14.4" x14ac:dyDescent="0.3"/>
  <cols>
    <col min="3" max="3" width="20.6640625" bestFit="1" customWidth="1"/>
  </cols>
  <sheetData>
    <row r="2" spans="2:9" x14ac:dyDescent="0.3">
      <c r="B2" t="s">
        <v>0</v>
      </c>
      <c r="C2" t="str">
        <f>LEFT(B2,9)</f>
        <v>139828137</v>
      </c>
      <c r="D2" t="str">
        <f>RIGHT(B2,9)</f>
        <v>139400146</v>
      </c>
      <c r="E2">
        <f>D3-D2</f>
        <v>100006</v>
      </c>
      <c r="F2">
        <f>E2/1000000</f>
        <v>0.100006</v>
      </c>
      <c r="G2">
        <f>100000-E2</f>
        <v>-6</v>
      </c>
      <c r="H2">
        <f>C3-C2</f>
        <v>100001</v>
      </c>
      <c r="I2">
        <f>H2/1000000</f>
        <v>0.10000100000000001</v>
      </c>
    </row>
    <row r="3" spans="2:9" x14ac:dyDescent="0.3">
      <c r="B3" t="s">
        <v>1</v>
      </c>
      <c r="C3" t="str">
        <f t="shared" ref="C3:C20" si="0">LEFT(B3,9)</f>
        <v>139928138</v>
      </c>
      <c r="D3" t="str">
        <f t="shared" ref="D3:D20" si="1">RIGHT(B3,9)</f>
        <v>139500152</v>
      </c>
      <c r="E3">
        <f>D4-D3</f>
        <v>99976</v>
      </c>
      <c r="F3">
        <f t="shared" ref="F3:F19" si="2">E3/1000000</f>
        <v>9.9975999999999995E-2</v>
      </c>
      <c r="G3">
        <f t="shared" ref="G3:G19" si="3">100000-E3</f>
        <v>24</v>
      </c>
      <c r="H3">
        <f>C4-C3</f>
        <v>100001</v>
      </c>
      <c r="I3">
        <f t="shared" ref="I3:I19" si="4">H3/1000000</f>
        <v>0.10000100000000001</v>
      </c>
    </row>
    <row r="4" spans="2:9" x14ac:dyDescent="0.3">
      <c r="B4" t="s">
        <v>2</v>
      </c>
      <c r="C4" t="str">
        <f t="shared" si="0"/>
        <v>140028139</v>
      </c>
      <c r="D4" t="str">
        <f t="shared" si="1"/>
        <v>139600128</v>
      </c>
      <c r="E4">
        <f>D5-D4</f>
        <v>100006</v>
      </c>
      <c r="F4">
        <f t="shared" si="2"/>
        <v>0.100006</v>
      </c>
      <c r="G4">
        <f t="shared" si="3"/>
        <v>-6</v>
      </c>
      <c r="H4">
        <f>C5-C4</f>
        <v>100001</v>
      </c>
      <c r="I4">
        <f t="shared" si="4"/>
        <v>0.10000100000000001</v>
      </c>
    </row>
    <row r="5" spans="2:9" x14ac:dyDescent="0.3">
      <c r="B5" t="s">
        <v>3</v>
      </c>
      <c r="C5" t="str">
        <f t="shared" si="0"/>
        <v>140128140</v>
      </c>
      <c r="D5" t="str">
        <f t="shared" si="1"/>
        <v>139700134</v>
      </c>
      <c r="E5">
        <f>D6-D5</f>
        <v>100006</v>
      </c>
      <c r="F5">
        <f t="shared" si="2"/>
        <v>0.100006</v>
      </c>
      <c r="G5">
        <f t="shared" si="3"/>
        <v>-6</v>
      </c>
      <c r="H5">
        <f t="shared" ref="H5:H19" si="5">C6-C5</f>
        <v>100000</v>
      </c>
      <c r="I5">
        <f t="shared" si="4"/>
        <v>0.1</v>
      </c>
    </row>
    <row r="6" spans="2:9" x14ac:dyDescent="0.3">
      <c r="B6" t="s">
        <v>4</v>
      </c>
      <c r="C6" t="str">
        <f t="shared" si="0"/>
        <v>140228140</v>
      </c>
      <c r="D6" t="str">
        <f t="shared" si="1"/>
        <v>139800140</v>
      </c>
      <c r="E6">
        <f t="shared" ref="E6:E20" si="6">D7-D6</f>
        <v>99975</v>
      </c>
      <c r="F6">
        <f t="shared" si="2"/>
        <v>9.9974999999999994E-2</v>
      </c>
      <c r="G6">
        <f t="shared" si="3"/>
        <v>25</v>
      </c>
      <c r="H6">
        <f t="shared" si="5"/>
        <v>100002</v>
      </c>
      <c r="I6">
        <f t="shared" si="4"/>
        <v>0.10000199999999999</v>
      </c>
    </row>
    <row r="7" spans="2:9" x14ac:dyDescent="0.3">
      <c r="B7" t="s">
        <v>5</v>
      </c>
      <c r="C7" t="str">
        <f t="shared" si="0"/>
        <v>140328142</v>
      </c>
      <c r="D7" t="str">
        <f t="shared" si="1"/>
        <v>139900115</v>
      </c>
      <c r="E7">
        <f t="shared" si="6"/>
        <v>100037</v>
      </c>
      <c r="F7">
        <f t="shared" si="2"/>
        <v>0.100037</v>
      </c>
      <c r="G7">
        <f t="shared" si="3"/>
        <v>-37</v>
      </c>
      <c r="H7">
        <f t="shared" si="5"/>
        <v>100001</v>
      </c>
      <c r="I7">
        <f t="shared" si="4"/>
        <v>0.10000100000000001</v>
      </c>
    </row>
    <row r="8" spans="2:9" x14ac:dyDescent="0.3">
      <c r="B8" t="s">
        <v>6</v>
      </c>
      <c r="C8" t="str">
        <f t="shared" si="0"/>
        <v>140428143</v>
      </c>
      <c r="D8" t="str">
        <f t="shared" si="1"/>
        <v>140000152</v>
      </c>
      <c r="E8">
        <f t="shared" si="6"/>
        <v>100006</v>
      </c>
      <c r="F8">
        <f t="shared" si="2"/>
        <v>0.100006</v>
      </c>
      <c r="G8">
        <f t="shared" si="3"/>
        <v>-6</v>
      </c>
      <c r="H8">
        <f t="shared" si="5"/>
        <v>100001</v>
      </c>
      <c r="I8">
        <f t="shared" si="4"/>
        <v>0.10000100000000001</v>
      </c>
    </row>
    <row r="9" spans="2:9" x14ac:dyDescent="0.3">
      <c r="B9" t="s">
        <v>7</v>
      </c>
      <c r="C9" t="str">
        <f t="shared" si="0"/>
        <v>140528144</v>
      </c>
      <c r="D9" t="str">
        <f t="shared" si="1"/>
        <v>140100158</v>
      </c>
      <c r="E9">
        <f t="shared" si="6"/>
        <v>99976</v>
      </c>
      <c r="F9">
        <f t="shared" si="2"/>
        <v>9.9975999999999995E-2</v>
      </c>
      <c r="G9">
        <f t="shared" si="3"/>
        <v>24</v>
      </c>
      <c r="H9">
        <f t="shared" si="5"/>
        <v>100001</v>
      </c>
      <c r="I9">
        <f t="shared" si="4"/>
        <v>0.10000100000000001</v>
      </c>
    </row>
    <row r="10" spans="2:9" x14ac:dyDescent="0.3">
      <c r="B10" t="s">
        <v>8</v>
      </c>
      <c r="C10" t="str">
        <f t="shared" si="0"/>
        <v>140628145</v>
      </c>
      <c r="D10" t="str">
        <f t="shared" si="1"/>
        <v>140200134</v>
      </c>
      <c r="E10">
        <f t="shared" si="6"/>
        <v>100006</v>
      </c>
      <c r="F10">
        <f t="shared" si="2"/>
        <v>0.100006</v>
      </c>
      <c r="G10">
        <f t="shared" si="3"/>
        <v>-6</v>
      </c>
      <c r="H10">
        <f t="shared" si="5"/>
        <v>100000</v>
      </c>
      <c r="I10">
        <f t="shared" si="4"/>
        <v>0.1</v>
      </c>
    </row>
    <row r="11" spans="2:9" x14ac:dyDescent="0.3">
      <c r="B11" t="s">
        <v>9</v>
      </c>
      <c r="C11" t="str">
        <f t="shared" si="0"/>
        <v>140728145</v>
      </c>
      <c r="D11" t="str">
        <f t="shared" si="1"/>
        <v>140300140</v>
      </c>
      <c r="E11">
        <f t="shared" si="6"/>
        <v>100006</v>
      </c>
      <c r="F11">
        <f t="shared" si="2"/>
        <v>0.100006</v>
      </c>
      <c r="G11">
        <f t="shared" si="3"/>
        <v>-6</v>
      </c>
      <c r="H11">
        <f t="shared" si="5"/>
        <v>100001</v>
      </c>
      <c r="I11">
        <f t="shared" si="4"/>
        <v>0.10000100000000001</v>
      </c>
    </row>
    <row r="12" spans="2:9" x14ac:dyDescent="0.3">
      <c r="B12" t="s">
        <v>10</v>
      </c>
      <c r="C12" t="str">
        <f t="shared" si="0"/>
        <v>140828146</v>
      </c>
      <c r="D12" t="str">
        <f t="shared" si="1"/>
        <v>140400146</v>
      </c>
      <c r="E12">
        <f t="shared" si="6"/>
        <v>99976</v>
      </c>
      <c r="F12">
        <f t="shared" si="2"/>
        <v>9.9975999999999995E-2</v>
      </c>
      <c r="G12">
        <f t="shared" si="3"/>
        <v>24</v>
      </c>
      <c r="H12">
        <f t="shared" si="5"/>
        <v>100002</v>
      </c>
      <c r="I12">
        <f t="shared" si="4"/>
        <v>0.10000199999999999</v>
      </c>
    </row>
    <row r="13" spans="2:9" x14ac:dyDescent="0.3">
      <c r="B13" t="s">
        <v>11</v>
      </c>
      <c r="C13" t="str">
        <f t="shared" si="0"/>
        <v>140928148</v>
      </c>
      <c r="D13" t="str">
        <f t="shared" si="1"/>
        <v>140500122</v>
      </c>
      <c r="E13">
        <f t="shared" si="6"/>
        <v>100036</v>
      </c>
      <c r="F13">
        <f t="shared" si="2"/>
        <v>0.100036</v>
      </c>
      <c r="G13">
        <f t="shared" si="3"/>
        <v>-36</v>
      </c>
      <c r="H13">
        <f t="shared" si="5"/>
        <v>100001</v>
      </c>
      <c r="I13">
        <f t="shared" si="4"/>
        <v>0.10000100000000001</v>
      </c>
    </row>
    <row r="14" spans="2:9" x14ac:dyDescent="0.3">
      <c r="B14" t="s">
        <v>12</v>
      </c>
      <c r="C14" t="str">
        <f t="shared" si="0"/>
        <v>141028149</v>
      </c>
      <c r="D14" t="str">
        <f t="shared" si="1"/>
        <v>140600158</v>
      </c>
      <c r="E14">
        <f t="shared" si="6"/>
        <v>100006</v>
      </c>
      <c r="F14">
        <f t="shared" si="2"/>
        <v>0.100006</v>
      </c>
      <c r="G14">
        <f t="shared" si="3"/>
        <v>-6</v>
      </c>
      <c r="H14">
        <f t="shared" si="5"/>
        <v>100001</v>
      </c>
      <c r="I14">
        <f t="shared" si="4"/>
        <v>0.10000100000000001</v>
      </c>
    </row>
    <row r="15" spans="2:9" x14ac:dyDescent="0.3">
      <c r="B15" t="s">
        <v>13</v>
      </c>
      <c r="C15" t="str">
        <f t="shared" si="0"/>
        <v>141128150</v>
      </c>
      <c r="D15" t="str">
        <f t="shared" si="1"/>
        <v>140700164</v>
      </c>
      <c r="E15">
        <f t="shared" si="6"/>
        <v>99976</v>
      </c>
      <c r="F15">
        <f t="shared" si="2"/>
        <v>9.9975999999999995E-2</v>
      </c>
      <c r="G15">
        <f t="shared" si="3"/>
        <v>24</v>
      </c>
      <c r="H15">
        <f t="shared" si="5"/>
        <v>100000</v>
      </c>
      <c r="I15">
        <f t="shared" si="4"/>
        <v>0.1</v>
      </c>
    </row>
    <row r="16" spans="2:9" x14ac:dyDescent="0.3">
      <c r="B16" t="s">
        <v>14</v>
      </c>
      <c r="C16" t="str">
        <f t="shared" si="0"/>
        <v>141228150</v>
      </c>
      <c r="D16" t="str">
        <f t="shared" si="1"/>
        <v>140800140</v>
      </c>
      <c r="E16">
        <f t="shared" si="6"/>
        <v>100006</v>
      </c>
      <c r="F16">
        <f t="shared" si="2"/>
        <v>0.100006</v>
      </c>
      <c r="G16">
        <f t="shared" si="3"/>
        <v>-6</v>
      </c>
      <c r="H16">
        <f t="shared" si="5"/>
        <v>100001</v>
      </c>
      <c r="I16">
        <f t="shared" si="4"/>
        <v>0.10000100000000001</v>
      </c>
    </row>
    <row r="17" spans="2:9" x14ac:dyDescent="0.3">
      <c r="B17" t="s">
        <v>15</v>
      </c>
      <c r="C17" t="str">
        <f t="shared" si="0"/>
        <v>141328151</v>
      </c>
      <c r="D17" t="str">
        <f t="shared" si="1"/>
        <v>140900146</v>
      </c>
      <c r="E17">
        <f t="shared" si="6"/>
        <v>100006</v>
      </c>
      <c r="F17">
        <f t="shared" si="2"/>
        <v>0.100006</v>
      </c>
      <c r="G17">
        <f t="shared" si="3"/>
        <v>-6</v>
      </c>
      <c r="H17">
        <f t="shared" si="5"/>
        <v>100001</v>
      </c>
      <c r="I17">
        <f t="shared" si="4"/>
        <v>0.10000100000000001</v>
      </c>
    </row>
    <row r="18" spans="2:9" x14ac:dyDescent="0.3">
      <c r="B18" t="s">
        <v>16</v>
      </c>
      <c r="C18" t="str">
        <f t="shared" si="0"/>
        <v>141428152</v>
      </c>
      <c r="D18" t="str">
        <f t="shared" si="1"/>
        <v>141000152</v>
      </c>
      <c r="E18">
        <f t="shared" si="6"/>
        <v>99976</v>
      </c>
      <c r="F18">
        <f t="shared" si="2"/>
        <v>9.9975999999999995E-2</v>
      </c>
      <c r="G18">
        <f t="shared" si="3"/>
        <v>24</v>
      </c>
      <c r="H18">
        <f t="shared" si="5"/>
        <v>100002</v>
      </c>
      <c r="I18">
        <f t="shared" si="4"/>
        <v>0.10000199999999999</v>
      </c>
    </row>
    <row r="19" spans="2:9" x14ac:dyDescent="0.3">
      <c r="B19" t="s">
        <v>17</v>
      </c>
      <c r="C19" t="str">
        <f t="shared" si="0"/>
        <v>141528154</v>
      </c>
      <c r="D19" t="str">
        <f t="shared" si="1"/>
        <v>141100128</v>
      </c>
      <c r="E19">
        <f t="shared" si="6"/>
        <v>100036</v>
      </c>
      <c r="F19">
        <f t="shared" si="2"/>
        <v>0.100036</v>
      </c>
      <c r="G19">
        <f t="shared" si="3"/>
        <v>-36</v>
      </c>
      <c r="H19">
        <f t="shared" si="5"/>
        <v>100001</v>
      </c>
      <c r="I19">
        <f t="shared" si="4"/>
        <v>0.10000100000000001</v>
      </c>
    </row>
    <row r="20" spans="2:9" x14ac:dyDescent="0.3">
      <c r="B20" t="s">
        <v>18</v>
      </c>
      <c r="C20" t="str">
        <f t="shared" si="0"/>
        <v>141628155</v>
      </c>
      <c r="D20" t="str">
        <f t="shared" si="1"/>
        <v>141200164</v>
      </c>
    </row>
    <row r="21" spans="2:9" x14ac:dyDescent="0.3">
      <c r="G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Castro</dc:creator>
  <cp:lastModifiedBy>Miguel Castro</cp:lastModifiedBy>
  <dcterms:created xsi:type="dcterms:W3CDTF">2025-11-03T22:56:17Z</dcterms:created>
  <dcterms:modified xsi:type="dcterms:W3CDTF">2025-11-04T03:36:50Z</dcterms:modified>
</cp:coreProperties>
</file>